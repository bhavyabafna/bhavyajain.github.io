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C Market Sizing" sheetId="1" state="visible" r:id="rId1"/>
    <sheet xmlns:r="http://schemas.openxmlformats.org/officeDocument/2006/relationships" name="YAC Roadmap 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000%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D0D0F"/>
      <sz val="14"/>
    </font>
    <font>
      <name val="Arial"/>
      <i val="1"/>
      <color rgb="006B6B70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D0D0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1" pivotButton="0" quotePrefix="0" xfId="0"/>
    <xf numFmtId="164" fontId="5" fillId="0" borderId="1" pivotButton="0" quotePrefix="0" xfId="0"/>
    <xf numFmtId="0" fontId="2" fillId="0" borderId="1" applyAlignment="1" pivotButton="0" quotePrefix="0" xfId="0">
      <alignment wrapText="1"/>
    </xf>
    <xf numFmtId="165" fontId="5" fillId="0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0" fillId="2" borderId="0" pivotButton="0" quotePrefix="0" xfId="0"/>
    <xf numFmtId="0" fontId="6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3" fillId="2" borderId="0" applyAlignment="1" pivotButton="0" quotePrefix="0" xfId="0">
      <alignment vertical="center" wrapText="1"/>
    </xf>
    <xf numFmtId="3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YAC (Your Abroad Consultant) — Market Sizing Model</t>
        </is>
      </c>
    </row>
    <row r="2">
      <c r="A2" s="2" t="inlineStr">
        <is>
          <t>Blue = sourced or input assumption. Black = formula. Yellow = illustrative planning assumption (not yet real, pending confirmed pricing/growth data).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Source / Note</t>
        </is>
      </c>
    </row>
    <row r="5">
      <c r="A5" s="4" t="inlineStr">
        <is>
          <t>Global study abroad agency market, 2026 (TAM, $)</t>
        </is>
      </c>
      <c r="B5" s="5" t="n">
        <v>28980000000</v>
      </c>
      <c r="C5" s="6" t="inlineStr">
        <is>
          <t>Business Research Insights, Study Abroad Agency Market report, 2026 estimate</t>
        </is>
      </c>
    </row>
    <row r="6">
      <c r="A6" s="4" t="inlineStr">
        <is>
          <t>India's share of global outbound students</t>
        </is>
      </c>
      <c r="B6" s="7" t="n">
        <v>0.172</v>
      </c>
      <c r="C6" s="6" t="inlineStr">
        <is>
          <t>India: 1.34M outbound students (2024, largest sender); ~7.8M global outbound students est. 2026 (UNESCO / student-insurance.com). 1.34M / 7.8M = 17.2%</t>
        </is>
      </c>
    </row>
    <row r="7">
      <c r="A7" s="4" t="inlineStr">
        <is>
          <t>Year-1 students realistically served (solo founder)</t>
        </is>
      </c>
      <c r="B7" s="8" t="n">
        <v>2000</v>
      </c>
      <c r="C7" s="6" t="inlineStr">
        <is>
          <t>Illustrative planning assumption: organic + community-led growth, no paid team</t>
        </is>
      </c>
    </row>
    <row r="8">
      <c r="A8" s="4" t="inlineStr">
        <is>
          <t>Illustrative avg. advisory value per student ($)</t>
        </is>
      </c>
      <c r="B8" s="9" t="n">
        <v>150</v>
      </c>
      <c r="C8" s="6" t="inlineStr">
        <is>
          <t>Illustrative assumption pending confirmed pricing model; YAC is pre-monetization</t>
        </is>
      </c>
    </row>
    <row r="10">
      <c r="A10" s="3" t="inlineStr">
        <is>
          <t>Calculated Market Size</t>
        </is>
      </c>
      <c r="B10" s="10" t="n"/>
      <c r="C10" s="10" t="n"/>
    </row>
    <row r="11">
      <c r="A11" s="11" t="inlineStr">
        <is>
          <t>TAM — Global study abroad agency market ($)</t>
        </is>
      </c>
      <c r="B11" s="12">
        <f>B5</f>
        <v/>
      </c>
    </row>
    <row r="12">
      <c r="A12" s="11" t="inlineStr">
        <is>
          <t>SAM — India-origin outbound-student segment ($)</t>
        </is>
      </c>
      <c r="B12" s="12">
        <f>B5*B6</f>
        <v/>
      </c>
    </row>
    <row r="13">
      <c r="A13" s="11" t="inlineStr">
        <is>
          <t>SOM — Year-1 realistic opportunity ($)</t>
        </is>
      </c>
      <c r="B13" s="12">
        <f>B7*B8</f>
        <v/>
      </c>
    </row>
    <row r="14">
      <c r="A14" s="11" t="inlineStr">
        <is>
          <t>SOM as % of SAM (sanity check)</t>
        </is>
      </c>
      <c r="B14" s="13">
        <f>IFERROR(B13/B12,"-")</f>
        <v/>
      </c>
    </row>
    <row r="17" ht="48" customHeight="1">
      <c r="A17" s="2" t="inlineStr">
        <is>
          <t>Note: TAM and India outbound-student share are sourced external market data (see column C). SAM assumes advisory spend is roughly proportional to student volume by origin country — a simplifying assumption, not a precise segmentation study. SOM reflects an illustrative Year-1 planning target for a solo-founder, pre-revenue product, not actual captured revenue.</t>
        </is>
      </c>
    </row>
  </sheetData>
  <mergeCells count="2">
    <mergeCell ref="A2:E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YAC Roadmap Prioritization — RICE Scoring</t>
        </is>
      </c>
    </row>
    <row r="2">
      <c r="A2" s="2" t="inlineStr">
        <is>
          <t>Reflects the real order YAC's features were actually built in, reconstructed from founder notes. Blue = input scores. Black = formula.</t>
        </is>
      </c>
    </row>
    <row r="4">
      <c r="A4" s="14" t="inlineStr">
        <is>
          <t>Initiative</t>
        </is>
      </c>
      <c r="B4" s="14" t="inlineStr">
        <is>
          <t>Reach (students/mo, 00s)</t>
        </is>
      </c>
      <c r="C4" s="14" t="inlineStr">
        <is>
          <t>Impact (0.25-3)</t>
        </is>
      </c>
      <c r="D4" s="14" t="inlineStr">
        <is>
          <t>Confidence (%)</t>
        </is>
      </c>
      <c r="E4" s="14" t="inlineStr">
        <is>
          <t>Effort (person-months)</t>
        </is>
      </c>
      <c r="F4" s="14" t="inlineStr">
        <is>
          <t>RICE Score</t>
        </is>
      </c>
      <c r="G4" s="14" t="inlineStr">
        <is>
          <t>Actual sequence</t>
        </is>
      </c>
    </row>
    <row r="5">
      <c r="A5" s="4" t="inlineStr">
        <is>
          <t>UX/UI prototype: discovery, docs, services</t>
        </is>
      </c>
      <c r="B5" s="15" t="n">
        <v>8</v>
      </c>
      <c r="C5" s="16" t="n">
        <v>1.5</v>
      </c>
      <c r="D5" s="7" t="n">
        <v>0.9</v>
      </c>
      <c r="E5" s="17" t="n">
        <v>2</v>
      </c>
      <c r="F5" s="18">
        <f>(B5*C5*D5)/E5</f>
        <v/>
      </c>
      <c r="G5" s="4" t="inlineStr">
        <is>
          <t>Built #1</t>
        </is>
      </c>
    </row>
    <row r="6">
      <c r="A6" s="4" t="inlineStr">
        <is>
          <t>AI guidance tool (plain-language steps)</t>
        </is>
      </c>
      <c r="B6" s="15" t="n">
        <v>8</v>
      </c>
      <c r="C6" s="16" t="n">
        <v>2.5</v>
      </c>
      <c r="D6" s="7" t="n">
        <v>0.75</v>
      </c>
      <c r="E6" s="17" t="n">
        <v>2.5</v>
      </c>
      <c r="F6" s="18">
        <f>(B6*C6*D6)/E6</f>
        <v/>
      </c>
      <c r="G6" s="4" t="inlineStr">
        <is>
          <t>Built #2</t>
        </is>
      </c>
    </row>
    <row r="7">
      <c r="A7" s="4" t="inlineStr">
        <is>
          <t>Autonomous research agent (deadlines/reqs)</t>
        </is>
      </c>
      <c r="B7" s="15" t="n">
        <v>6</v>
      </c>
      <c r="C7" s="16" t="n">
        <v>2</v>
      </c>
      <c r="D7" s="7" t="n">
        <v>0.6</v>
      </c>
      <c r="E7" s="17" t="n">
        <v>4</v>
      </c>
      <c r="F7" s="18">
        <f>(B7*C7*D7)/E7</f>
        <v/>
      </c>
      <c r="G7" s="4" t="inlineStr">
        <is>
          <t>Built #3</t>
        </is>
      </c>
    </row>
    <row r="8">
      <c r="A8" s="4" t="inlineStr">
        <is>
          <t>Growth &amp; conversion-funnel optimization</t>
        </is>
      </c>
      <c r="B8" s="15" t="n">
        <v>8</v>
      </c>
      <c r="C8" s="16" t="n">
        <v>1</v>
      </c>
      <c r="D8" s="7" t="n">
        <v>0.8</v>
      </c>
      <c r="E8" s="17" t="n">
        <v>1.5</v>
      </c>
      <c r="F8" s="18">
        <f>(B8*C8*D8)/E8</f>
        <v/>
      </c>
      <c r="G8" s="4" t="inlineStr">
        <is>
          <t>Built #4</t>
        </is>
      </c>
    </row>
    <row r="10" ht="44" customHeight="1">
      <c r="A10" s="2" t="inlineStr">
        <is>
          <t>Note: Reach/Impact/Confidence/Effort are reconstructed estimates reflecting the founder's real reasoning for why the guidance tool shipped before the research agent (lower technical complexity, addressed the highest-frequency pain point first), not precise recorded metrics.</t>
        </is>
      </c>
    </row>
  </sheetData>
  <mergeCells count="2"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2026-07-17T19:50:12Z</dcterms:created>
  <dcterms:modified xmlns:dcterms="http://purl.org/dc/terms/" xmlns:xsi="http://www.w3.org/2001/XMLSchema-instance" xsi:type="dcterms:W3CDTF">2026-07-17T19:50:12Z</dcterms:modified>
</cp:coreProperties>
</file>